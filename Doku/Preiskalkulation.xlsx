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\Downloads\"/>
    </mc:Choice>
  </mc:AlternateContent>
  <xr:revisionPtr revIDLastSave="0" documentId="13_ncr:1_{CAED5A52-92DB-49B7-9251-86BACE8F7E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sten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E20" i="1" s="1"/>
  <c r="E7" i="1"/>
  <c r="E15" i="1"/>
  <c r="D26" i="1"/>
  <c r="E26" i="1" s="1"/>
  <c r="E27" i="1" s="1"/>
  <c r="B8" i="1"/>
  <c r="E14" i="1"/>
  <c r="D13" i="1"/>
  <c r="D12" i="1"/>
  <c r="D11" i="1"/>
  <c r="D10" i="1"/>
  <c r="D9" i="1"/>
  <c r="E9" i="1" s="1"/>
  <c r="E21" i="1"/>
  <c r="E22" i="1"/>
  <c r="E6" i="1"/>
  <c r="E5" i="1"/>
  <c r="E23" i="1" l="1"/>
  <c r="D8" i="1"/>
  <c r="E13" i="1"/>
  <c r="E12" i="1"/>
  <c r="E11" i="1"/>
  <c r="E10" i="1"/>
  <c r="E8" i="1" l="1"/>
  <c r="E17" i="1" s="1"/>
  <c r="E30" i="1" s="1"/>
  <c r="D16" i="1"/>
</calcChain>
</file>

<file path=xl/sharedStrings.xml><?xml version="1.0" encoding="utf-8"?>
<sst xmlns="http://schemas.openxmlformats.org/spreadsheetml/2006/main" count="47" uniqueCount="47">
  <si>
    <t>%-Satz</t>
  </si>
  <si>
    <t>Materialkosten</t>
  </si>
  <si>
    <t>Mindestangebotspreis (brutto) / Bruttoverkaufspreis</t>
  </si>
  <si>
    <t>Preiskalkulation Monopoly</t>
  </si>
  <si>
    <t>Geplanter Gewinn</t>
  </si>
  <si>
    <t>Einzelkosten</t>
  </si>
  <si>
    <t>Anzahl</t>
  </si>
  <si>
    <t>Bruttolohn</t>
  </si>
  <si>
    <t>Sozialabgaben</t>
  </si>
  <si>
    <t>QT Creator Lizenzen</t>
  </si>
  <si>
    <t>Laptop Leasing</t>
  </si>
  <si>
    <t>Bürokosten</t>
  </si>
  <si>
    <t>Gesamtpersonalkosten</t>
  </si>
  <si>
    <t>Personalkosten</t>
  </si>
  <si>
    <t>Gesamtmaterialkosten</t>
  </si>
  <si>
    <t>Berechnung</t>
  </si>
  <si>
    <t>Beschreibung</t>
  </si>
  <si>
    <t>Summe</t>
  </si>
  <si>
    <t>Rentenversicherung</t>
  </si>
  <si>
    <t>Unfallversicherung</t>
  </si>
  <si>
    <t>Krankenversicherung</t>
  </si>
  <si>
    <t>Pflegeversicherung</t>
  </si>
  <si>
    <t>Arbeitslosenversicherung</t>
  </si>
  <si>
    <t>21,2% des Bruttolohns</t>
  </si>
  <si>
    <t>Lohnfortzahlung</t>
  </si>
  <si>
    <t>Einarbeitung / Recherche</t>
  </si>
  <si>
    <t>Sonstige Kosten</t>
  </si>
  <si>
    <t>Einarbeitung</t>
  </si>
  <si>
    <t>Einarbeitung in QT-Framework (Tutorials, Foren)</t>
  </si>
  <si>
    <t>Pro Person 2h</t>
  </si>
  <si>
    <t>Gesamtsumme sonstige Kosten</t>
  </si>
  <si>
    <t>Kundeneinweisung / Übergabe</t>
  </si>
  <si>
    <t>Projektleiter übergibt Projekt</t>
  </si>
  <si>
    <t>Übergabedauer 2h</t>
  </si>
  <si>
    <t>Jahreslizenz /  Anteilig berechnet pro Monat</t>
  </si>
  <si>
    <t>Gesamtpersonalkosten + Gesamtmaterialkosten + Sonstige Kosten</t>
  </si>
  <si>
    <t>Kalkulierter Gewinnaufschlag für das Projekt</t>
  </si>
  <si>
    <t>Interner Stundensatz</t>
  </si>
  <si>
    <t>Allgemeine Betriebskosten (z. B. Arbeitsplatz, Strom, Infrastruktur)</t>
  </si>
  <si>
    <t>Mitarrbeiter Einarbeitung in das Projektumfeld, Technologien, Frameworks 1h</t>
  </si>
  <si>
    <t>Lenovo Thinkbook</t>
  </si>
  <si>
    <t>530€ / 12</t>
  </si>
  <si>
    <t>QT Lizenz</t>
  </si>
  <si>
    <t>Quellen</t>
  </si>
  <si>
    <t>Monatsleasing 20€</t>
  </si>
  <si>
    <t>Personalkosten Mitarbeiter / Stunde</t>
  </si>
  <si>
    <t>(Personalkosten/h * 3 Mitarbeiter * 100 Stunden) + (Kundeneinweisung + Einarbeitung)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</si>
</sst>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.00\ [$€-407]_-;\-* #,##0.00\ [$€-407]_-;_-* &quot;-&quot;??\ [$€-407]_-;_-@_-"/>
    <numFmt numFmtId="167" formatCode="#,##0.00\ &quot;€&quot;"/>
  </numFmts>
  <fonts count="1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i/>
      <sz val="9"/>
      <color theme="1"/>
      <name val="Arial"/>
      <family val="2"/>
    </font>
    <font>
      <b/>
      <sz val="17"/>
      <color theme="3" tint="-0.249977111117893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4" fillId="4" borderId="1" xfId="1" applyNumberFormat="1" applyFont="1" applyFill="1" applyBorder="1"/>
    <xf numFmtId="0" fontId="3" fillId="4" borderId="1" xfId="2" applyFill="1" applyBorder="1" applyAlignment="1">
      <alignment horizontal="center" vertical="center"/>
    </xf>
    <xf numFmtId="0" fontId="0" fillId="4" borderId="1" xfId="0" applyFill="1" applyBorder="1"/>
    <xf numFmtId="166" fontId="2" fillId="4" borderId="1" xfId="0" applyNumberFormat="1" applyFont="1" applyFill="1" applyBorder="1" applyAlignment="1">
      <alignment vertical="center"/>
    </xf>
    <xf numFmtId="166" fontId="0" fillId="4" borderId="1" xfId="0" applyNumberFormat="1" applyFill="1" applyBorder="1" applyAlignment="1">
      <alignment vertical="center"/>
    </xf>
    <xf numFmtId="166" fontId="1" fillId="4" borderId="1" xfId="1" applyNumberFormat="1" applyFont="1" applyFill="1" applyBorder="1" applyAlignment="1">
      <alignment horizontal="center" vertical="center"/>
    </xf>
    <xf numFmtId="166" fontId="0" fillId="4" borderId="1" xfId="0" applyNumberFormat="1" applyFill="1" applyBorder="1"/>
    <xf numFmtId="10" fontId="0" fillId="4" borderId="1" xfId="2" applyNumberFormat="1" applyFont="1" applyFill="1" applyBorder="1" applyAlignment="1">
      <alignment horizontal="center" vertical="center"/>
    </xf>
    <xf numFmtId="167" fontId="0" fillId="4" borderId="1" xfId="0" applyNumberFormat="1" applyFill="1" applyBorder="1"/>
    <xf numFmtId="0" fontId="0" fillId="4" borderId="1" xfId="0" applyFill="1" applyBorder="1" applyAlignment="1">
      <alignment horizontal="center" vertical="center"/>
    </xf>
    <xf numFmtId="0" fontId="5" fillId="3" borderId="0" xfId="0" applyFont="1" applyFill="1"/>
    <xf numFmtId="0" fontId="6" fillId="3" borderId="0" xfId="0" applyFont="1" applyFill="1" applyAlignment="1">
      <alignment horizontal="center" vertical="center"/>
    </xf>
    <xf numFmtId="0" fontId="6" fillId="3" borderId="0" xfId="0" applyFont="1" applyFill="1"/>
    <xf numFmtId="0" fontId="6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3" fillId="5" borderId="1" xfId="2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vertical="center"/>
    </xf>
    <xf numFmtId="166" fontId="2" fillId="5" borderId="1" xfId="0" applyNumberFormat="1" applyFont="1" applyFill="1" applyBorder="1" applyAlignment="1">
      <alignment vertical="center"/>
    </xf>
    <xf numFmtId="0" fontId="0" fillId="5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66" fontId="2" fillId="5" borderId="1" xfId="1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/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vertical="center"/>
    </xf>
    <xf numFmtId="0" fontId="2" fillId="6" borderId="1" xfId="0" applyFont="1" applyFill="1" applyBorder="1"/>
    <xf numFmtId="0" fontId="0" fillId="6" borderId="1" xfId="0" applyFill="1" applyBorder="1" applyAlignment="1">
      <alignment vertical="center"/>
    </xf>
    <xf numFmtId="0" fontId="8" fillId="0" borderId="0" xfId="0" applyFont="1" applyAlignment="1">
      <alignment vertical="center"/>
    </xf>
    <xf numFmtId="0" fontId="1" fillId="4" borderId="1" xfId="0" applyFont="1" applyFill="1" applyBorder="1"/>
    <xf numFmtId="1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7" fillId="4" borderId="1" xfId="0" applyFont="1" applyFill="1" applyBorder="1"/>
    <xf numFmtId="166" fontId="0" fillId="4" borderId="1" xfId="0" applyNumberFormat="1" applyFill="1" applyBorder="1" applyAlignment="1">
      <alignment horizontal="center" vertical="center"/>
    </xf>
    <xf numFmtId="0" fontId="1" fillId="4" borderId="1" xfId="1" applyNumberFormat="1" applyFont="1" applyFill="1" applyBorder="1" applyAlignment="1"/>
    <xf numFmtId="0" fontId="9" fillId="4" borderId="2" xfId="0" applyFont="1" applyFill="1" applyBorder="1"/>
    <xf numFmtId="0" fontId="10" fillId="4" borderId="1" xfId="3" applyFill="1" applyBorder="1"/>
    <xf numFmtId="0" fontId="10" fillId="4" borderId="1" xfId="3" applyNumberFormat="1" applyFill="1" applyBorder="1" applyAlignment="1"/>
  </cellXfs>
  <cellStyles count="4">
    <cellStyle name="Akzent1" xfId="2" builtinId="29"/>
    <cellStyle name="Komma" xfId="1" builtinId="3"/>
    <cellStyle name="Link" xfId="3" builtinId="8"/>
    <cellStyle name="Standard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qt.io/development/qt-for-small-business" TargetMode="External"/><Relationship Id="rId1" Type="http://schemas.openxmlformats.org/officeDocument/2006/relationships/hyperlink" Target="https://www.printer4you.com/de/mieten/lenovo-thinkbook-ryzen-5-7535hs-40-6cm-16zoll-wuxga-256gb-8gb-r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J24" sqref="J24"/>
    </sheetView>
  </sheetViews>
  <sheetFormatPr baseColWidth="10" defaultRowHeight="12.75" x14ac:dyDescent="0.2"/>
  <cols>
    <col min="1" max="1" width="47.85546875" customWidth="1"/>
    <col min="2" max="2" width="9.140625" style="2" customWidth="1"/>
    <col min="3" max="3" width="10.42578125" style="1" customWidth="1"/>
    <col min="4" max="4" width="17.85546875" style="2" bestFit="1" customWidth="1"/>
    <col min="5" max="5" width="15" customWidth="1"/>
    <col min="6" max="6" width="17.140625" customWidth="1"/>
    <col min="7" max="7" width="71.85546875" customWidth="1"/>
    <col min="8" max="8" width="15.7109375" bestFit="1" customWidth="1"/>
  </cols>
  <sheetData>
    <row r="1" spans="1:8" ht="30" customHeight="1" x14ac:dyDescent="0.2">
      <c r="A1" s="35" t="s">
        <v>3</v>
      </c>
    </row>
    <row r="4" spans="1:8" ht="15" customHeight="1" x14ac:dyDescent="0.2">
      <c r="A4" s="17" t="s">
        <v>13</v>
      </c>
      <c r="B4" s="18" t="s">
        <v>0</v>
      </c>
      <c r="C4" s="18" t="s">
        <v>6</v>
      </c>
      <c r="D4" s="18" t="s">
        <v>5</v>
      </c>
      <c r="E4" s="19" t="s">
        <v>17</v>
      </c>
      <c r="F4" s="19" t="s">
        <v>15</v>
      </c>
      <c r="G4" s="19" t="s">
        <v>16</v>
      </c>
      <c r="H4" s="19" t="s">
        <v>43</v>
      </c>
    </row>
    <row r="5" spans="1:8" x14ac:dyDescent="0.2">
      <c r="A5" s="5" t="s">
        <v>4</v>
      </c>
      <c r="B5" s="37"/>
      <c r="C5" s="38">
        <v>3</v>
      </c>
      <c r="D5" s="8">
        <v>50</v>
      </c>
      <c r="E5" s="9">
        <f>C5*D5</f>
        <v>150</v>
      </c>
      <c r="F5" s="3"/>
      <c r="G5" s="42" t="s">
        <v>36</v>
      </c>
      <c r="H5" s="42"/>
    </row>
    <row r="6" spans="1:8" x14ac:dyDescent="0.2">
      <c r="A6" s="5" t="s">
        <v>7</v>
      </c>
      <c r="B6" s="37"/>
      <c r="C6" s="38">
        <v>3</v>
      </c>
      <c r="D6" s="8">
        <v>35</v>
      </c>
      <c r="E6" s="9">
        <f t="shared" ref="E6:E7" si="0">C6*D6</f>
        <v>105</v>
      </c>
      <c r="F6" s="5"/>
      <c r="G6" s="36" t="s">
        <v>37</v>
      </c>
      <c r="H6" s="42"/>
    </row>
    <row r="7" spans="1:8" x14ac:dyDescent="0.2">
      <c r="A7" s="5" t="s">
        <v>25</v>
      </c>
      <c r="B7" s="39"/>
      <c r="C7" s="38">
        <v>3</v>
      </c>
      <c r="D7" s="8">
        <v>35</v>
      </c>
      <c r="E7" s="9">
        <f t="shared" si="0"/>
        <v>105</v>
      </c>
      <c r="F7" s="5"/>
      <c r="G7" s="36" t="s">
        <v>39</v>
      </c>
      <c r="H7" s="42"/>
    </row>
    <row r="8" spans="1:8" x14ac:dyDescent="0.2">
      <c r="A8" s="5" t="s">
        <v>8</v>
      </c>
      <c r="B8" s="37">
        <f>(B9+B10+B11+B12+B13)</f>
        <v>0.21199999999999999</v>
      </c>
      <c r="C8" s="38">
        <v>3</v>
      </c>
      <c r="D8" s="8">
        <f>(D9+D10+D11+D12+D13)</f>
        <v>7.419999999999999</v>
      </c>
      <c r="E8" s="9">
        <f>C8*D8</f>
        <v>22.259999999999998</v>
      </c>
      <c r="F8" s="5"/>
      <c r="G8" s="36" t="s">
        <v>23</v>
      </c>
      <c r="H8" s="42"/>
    </row>
    <row r="9" spans="1:8" x14ac:dyDescent="0.2">
      <c r="A9" s="40" t="s">
        <v>18</v>
      </c>
      <c r="B9" s="37">
        <v>9.2999999999999999E-2</v>
      </c>
      <c r="C9" s="38">
        <v>3</v>
      </c>
      <c r="D9" s="8">
        <f>D6*0.093</f>
        <v>3.2549999999999999</v>
      </c>
      <c r="E9" s="9">
        <f>C9*D9</f>
        <v>9.7650000000000006</v>
      </c>
      <c r="F9" s="5"/>
      <c r="G9" s="36"/>
      <c r="H9" s="42"/>
    </row>
    <row r="10" spans="1:8" x14ac:dyDescent="0.2">
      <c r="A10" s="40" t="s">
        <v>19</v>
      </c>
      <c r="B10" s="10">
        <v>1.4999999999999999E-2</v>
      </c>
      <c r="C10" s="38">
        <v>3</v>
      </c>
      <c r="D10" s="8">
        <f>D6*0.015</f>
        <v>0.52500000000000002</v>
      </c>
      <c r="E10" s="9">
        <f>C10*D10</f>
        <v>1.5750000000000002</v>
      </c>
      <c r="F10" s="5"/>
      <c r="G10" s="36"/>
      <c r="H10" s="42"/>
    </row>
    <row r="11" spans="1:8" x14ac:dyDescent="0.2">
      <c r="A11" s="40" t="s">
        <v>20</v>
      </c>
      <c r="B11" s="37">
        <v>7.2999999999999995E-2</v>
      </c>
      <c r="C11" s="38">
        <v>3</v>
      </c>
      <c r="D11" s="8">
        <f>D6*0.073</f>
        <v>2.5549999999999997</v>
      </c>
      <c r="E11" s="9">
        <f>C11*D11</f>
        <v>7.6649999999999991</v>
      </c>
      <c r="F11" s="5"/>
      <c r="G11" s="36"/>
      <c r="H11" s="42"/>
    </row>
    <row r="12" spans="1:8" x14ac:dyDescent="0.2">
      <c r="A12" s="40" t="s">
        <v>21</v>
      </c>
      <c r="B12" s="37">
        <v>1.7999999999999999E-2</v>
      </c>
      <c r="C12" s="38">
        <v>3</v>
      </c>
      <c r="D12" s="8">
        <f>D6*0.018</f>
        <v>0.63</v>
      </c>
      <c r="E12" s="9">
        <f>C12*D12</f>
        <v>1.8900000000000001</v>
      </c>
      <c r="F12" s="5"/>
      <c r="G12" s="36"/>
      <c r="H12" s="42"/>
    </row>
    <row r="13" spans="1:8" x14ac:dyDescent="0.2">
      <c r="A13" s="40" t="s">
        <v>22</v>
      </c>
      <c r="B13" s="37">
        <v>1.2999999999999999E-2</v>
      </c>
      <c r="C13" s="38">
        <v>3</v>
      </c>
      <c r="D13" s="8">
        <f>D6*0.013</f>
        <v>0.45499999999999996</v>
      </c>
      <c r="E13" s="9">
        <f>C13*D13</f>
        <v>1.3649999999999998</v>
      </c>
      <c r="F13" s="5"/>
      <c r="G13" s="36"/>
      <c r="H13" s="42"/>
    </row>
    <row r="14" spans="1:8" x14ac:dyDescent="0.2">
      <c r="A14" s="5" t="s">
        <v>24</v>
      </c>
      <c r="B14" s="37"/>
      <c r="C14" s="38">
        <v>3</v>
      </c>
      <c r="D14" s="8">
        <v>3.3</v>
      </c>
      <c r="E14" s="9">
        <f>C14*D14</f>
        <v>9.8999999999999986</v>
      </c>
      <c r="F14" s="5"/>
      <c r="G14" s="36"/>
      <c r="H14" s="42"/>
    </row>
    <row r="15" spans="1:8" x14ac:dyDescent="0.2">
      <c r="A15" s="5" t="s">
        <v>31</v>
      </c>
      <c r="B15" s="5"/>
      <c r="C15" s="38">
        <v>1</v>
      </c>
      <c r="D15" s="11">
        <v>70</v>
      </c>
      <c r="E15" s="9">
        <f>C15*D15</f>
        <v>70</v>
      </c>
      <c r="F15" s="5" t="s">
        <v>33</v>
      </c>
      <c r="G15" s="36" t="s">
        <v>32</v>
      </c>
      <c r="H15" s="42"/>
    </row>
    <row r="16" spans="1:8" x14ac:dyDescent="0.2">
      <c r="A16" s="43" t="s">
        <v>45</v>
      </c>
      <c r="B16" s="5"/>
      <c r="C16" s="38"/>
      <c r="D16" s="11">
        <f>D5+D6+D8+D14</f>
        <v>95.72</v>
      </c>
      <c r="E16" s="9"/>
      <c r="F16" s="5"/>
      <c r="G16" s="36"/>
      <c r="H16" s="42"/>
    </row>
    <row r="17" spans="1:8" x14ac:dyDescent="0.2">
      <c r="A17" s="20" t="s">
        <v>12</v>
      </c>
      <c r="B17" s="26"/>
      <c r="C17" s="27"/>
      <c r="D17" s="28"/>
      <c r="E17" s="29">
        <f>(E5+E6+E14+E8)*100+E15+E7</f>
        <v>28890.999999999996</v>
      </c>
      <c r="F17" s="25"/>
      <c r="G17" s="25" t="s">
        <v>46</v>
      </c>
      <c r="H17" s="25"/>
    </row>
    <row r="18" spans="1:8" x14ac:dyDescent="0.2">
      <c r="B18"/>
      <c r="C18"/>
      <c r="D18"/>
    </row>
    <row r="19" spans="1:8" ht="15" x14ac:dyDescent="0.25">
      <c r="A19" s="13" t="s">
        <v>1</v>
      </c>
      <c r="B19" s="14"/>
      <c r="C19" s="16"/>
      <c r="D19" s="14"/>
      <c r="E19" s="15"/>
      <c r="F19" s="15"/>
      <c r="G19" s="15"/>
      <c r="H19" s="15"/>
    </row>
    <row r="20" spans="1:8" x14ac:dyDescent="0.2">
      <c r="A20" s="5" t="s">
        <v>9</v>
      </c>
      <c r="B20" s="4"/>
      <c r="C20" s="12">
        <v>1</v>
      </c>
      <c r="D20" s="41">
        <f>530 / 12</f>
        <v>44.166666666666664</v>
      </c>
      <c r="E20" s="9">
        <f>C20*D20</f>
        <v>44.166666666666664</v>
      </c>
      <c r="F20" s="5" t="s">
        <v>41</v>
      </c>
      <c r="G20" s="5" t="s">
        <v>34</v>
      </c>
      <c r="H20" s="45" t="s">
        <v>42</v>
      </c>
    </row>
    <row r="21" spans="1:8" x14ac:dyDescent="0.2">
      <c r="A21" s="5" t="s">
        <v>10</v>
      </c>
      <c r="B21" s="12"/>
      <c r="C21" s="12">
        <v>3</v>
      </c>
      <c r="D21" s="6">
        <v>20</v>
      </c>
      <c r="E21" s="9">
        <f>C21*D21</f>
        <v>60</v>
      </c>
      <c r="F21" s="5"/>
      <c r="G21" t="s">
        <v>44</v>
      </c>
      <c r="H21" s="44" t="s">
        <v>40</v>
      </c>
    </row>
    <row r="22" spans="1:8" x14ac:dyDescent="0.2">
      <c r="A22" s="5" t="s">
        <v>11</v>
      </c>
      <c r="B22" s="4"/>
      <c r="C22" s="12">
        <v>3</v>
      </c>
      <c r="D22" s="7">
        <v>100</v>
      </c>
      <c r="E22" s="9">
        <f>C22*D22</f>
        <v>300</v>
      </c>
      <c r="F22" s="5"/>
      <c r="G22" s="5" t="s">
        <v>38</v>
      </c>
      <c r="H22" s="42"/>
    </row>
    <row r="23" spans="1:8" x14ac:dyDescent="0.2">
      <c r="A23" s="20" t="s">
        <v>14</v>
      </c>
      <c r="B23" s="21"/>
      <c r="C23" s="22"/>
      <c r="D23" s="23"/>
      <c r="E23" s="24">
        <f>E20+E21+E22</f>
        <v>404.16666666666663</v>
      </c>
      <c r="F23" s="25"/>
      <c r="G23" s="25"/>
      <c r="H23" s="25"/>
    </row>
    <row r="25" spans="1:8" ht="15" x14ac:dyDescent="0.25">
      <c r="A25" s="13" t="s">
        <v>26</v>
      </c>
      <c r="B25" s="14"/>
      <c r="C25" s="14"/>
      <c r="D25" s="14"/>
      <c r="E25" s="15"/>
      <c r="F25" s="15"/>
      <c r="G25" s="15"/>
      <c r="H25" s="15"/>
    </row>
    <row r="26" spans="1:8" x14ac:dyDescent="0.2">
      <c r="A26" s="5" t="s">
        <v>27</v>
      </c>
      <c r="B26" s="4"/>
      <c r="C26" s="12">
        <v>3</v>
      </c>
      <c r="D26" s="41">
        <f>70</f>
        <v>70</v>
      </c>
      <c r="E26" s="9">
        <f>C26*D26</f>
        <v>210</v>
      </c>
      <c r="F26" s="5" t="s">
        <v>29</v>
      </c>
      <c r="G26" s="5" t="s">
        <v>28</v>
      </c>
      <c r="H26" s="42"/>
    </row>
    <row r="27" spans="1:8" x14ac:dyDescent="0.2">
      <c r="A27" s="20" t="s">
        <v>30</v>
      </c>
      <c r="B27" s="26"/>
      <c r="C27" s="26"/>
      <c r="D27" s="24"/>
      <c r="E27" s="29">
        <f>E26</f>
        <v>210</v>
      </c>
      <c r="F27" s="20"/>
      <c r="G27" s="20"/>
      <c r="H27" s="20"/>
    </row>
    <row r="29" spans="1:8" ht="25.5" customHeight="1" x14ac:dyDescent="0.2"/>
    <row r="30" spans="1:8" x14ac:dyDescent="0.2">
      <c r="A30" s="30" t="s">
        <v>2</v>
      </c>
      <c r="B30" s="31"/>
      <c r="C30" s="31"/>
      <c r="D30" s="32"/>
      <c r="E30" s="32">
        <f>E23+E17+E27</f>
        <v>29505.166666666664</v>
      </c>
      <c r="F30" s="33"/>
      <c r="G30" s="34" t="s">
        <v>35</v>
      </c>
      <c r="H30" s="33"/>
    </row>
    <row r="31" spans="1:8" ht="15" customHeight="1" x14ac:dyDescent="0.2"/>
    <row r="32" spans="1:8" x14ac:dyDescent="0.2">
      <c r="C32" s="2"/>
    </row>
    <row r="33" spans="3:3" x14ac:dyDescent="0.2">
      <c r="C33" s="2"/>
    </row>
  </sheetData>
  <hyperlinks>
    <hyperlink ref="H21" r:id="rId1" display="Quelle" xr:uid="{4D088C7F-27E5-411A-92F0-BDC0A0221AAA}"/>
    <hyperlink ref="H20" r:id="rId2" xr:uid="{0970640A-5939-4BAE-8247-96D3050395FB}"/>
  </hyperlinks>
  <pageMargins left="0.7" right="0.7" top="0.78740157499999996" bottom="0.78740157499999996" header="0.3" footer="0.3"/>
  <pageSetup paperSize="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Kostenplan</vt:lpstr>
    </vt:vector>
  </TitlesOfParts>
  <Company>IHK München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Bradl</dc:creator>
  <cp:lastModifiedBy>Tom</cp:lastModifiedBy>
  <cp:lastPrinted>2022-06-30T08:19:01Z</cp:lastPrinted>
  <dcterms:created xsi:type="dcterms:W3CDTF">2021-09-07T06:33:11Z</dcterms:created>
  <dcterms:modified xsi:type="dcterms:W3CDTF">2025-12-05T13:24:10Z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