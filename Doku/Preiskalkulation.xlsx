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\\BES-S-Profiles.bes-s.cbbe.tech\Home\Fabio.Maydt\Downloads\"/>
    </mc:Choice>
  </mc:AlternateContent>
  <xr:revisionPtr revIDLastSave="0" documentId="13_ncr:1_{7EBDF555-C5F8-46E1-8D38-189A569D809F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Produktion &amp; Handel" sheetId="1" r:id="rId1"/>
    <sheet name="Unternehmen Dienstleist.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" l="1"/>
  <c r="C7" i="1" s="1"/>
  <c r="D7" i="3"/>
  <c r="D15" i="3" s="1"/>
  <c r="C28" i="3"/>
  <c r="D23" i="3"/>
  <c r="D26" i="3" s="1"/>
  <c r="D27" i="3" s="1"/>
  <c r="D8" i="1"/>
  <c r="D28" i="3" l="1"/>
  <c r="D30" i="3" s="1"/>
  <c r="D33" i="3" s="1"/>
  <c r="D35" i="3" s="1"/>
  <c r="D36" i="3" s="1"/>
  <c r="C6" i="1"/>
  <c r="C8" i="1"/>
  <c r="C10" i="1"/>
  <c r="C11" i="1"/>
  <c r="C13" i="1"/>
  <c r="C15" i="1"/>
  <c r="C9" i="1"/>
  <c r="C12" i="1"/>
  <c r="C14" i="1"/>
  <c r="D16" i="1"/>
  <c r="D17" i="1" s="1"/>
  <c r="D18" i="1" l="1"/>
  <c r="C16" i="1"/>
  <c r="C17" i="1" s="1"/>
  <c r="D19" i="1" l="1"/>
  <c r="D20" i="1"/>
  <c r="D21" i="1" l="1"/>
  <c r="D22" i="1" s="1"/>
  <c r="D23" i="1" s="1"/>
  <c r="D24" i="1" s="1"/>
  <c r="D25" i="1" l="1"/>
</calcChain>
</file>

<file path=xl/sharedStrings.xml><?xml version="1.0" encoding="utf-8"?>
<sst xmlns="http://schemas.openxmlformats.org/spreadsheetml/2006/main" count="63" uniqueCount="55">
  <si>
    <t>%-Satz</t>
  </si>
  <si>
    <t>Materialkosten</t>
  </si>
  <si>
    <t>Löhne und Personalkosten</t>
  </si>
  <si>
    <t>Personalnebenkosten</t>
  </si>
  <si>
    <t>Marketingkosten</t>
  </si>
  <si>
    <t>IT-Kosten</t>
  </si>
  <si>
    <t>Abschreibungen</t>
  </si>
  <si>
    <t>Finanzierungskosten und Zinsen</t>
  </si>
  <si>
    <t>Selbstkosten</t>
  </si>
  <si>
    <t>Miete jährlich</t>
  </si>
  <si>
    <t>Vertreterprovision</t>
  </si>
  <si>
    <t>Versicherungen</t>
  </si>
  <si>
    <t>Zusätzliche Kosten (z.B. Logistik, Lagerhaltung)</t>
  </si>
  <si>
    <t>Vorleistungen (z.B. Hilfsstoffe, Treibstoff-Kosten)</t>
  </si>
  <si>
    <t>Umsatzsteuer (0%, 7%, 19%)</t>
  </si>
  <si>
    <t>Rabatt</t>
  </si>
  <si>
    <t>Skonto</t>
  </si>
  <si>
    <t>Mindestverkaufspreis (netto)</t>
  </si>
  <si>
    <t>Zielverkaufspreis (netto) / Listenpreis</t>
  </si>
  <si>
    <t xml:space="preserve">Angebotspreis (netto) </t>
  </si>
  <si>
    <t xml:space="preserve">Miete </t>
  </si>
  <si>
    <t>Weitere Kosten</t>
  </si>
  <si>
    <t>Tage im Jahr</t>
  </si>
  <si>
    <t>Samstag&amp;Sonntag</t>
  </si>
  <si>
    <t>Feiertage</t>
  </si>
  <si>
    <t>Urlaubstage</t>
  </si>
  <si>
    <t>in %</t>
  </si>
  <si>
    <t>Nicht abrechenbare Stunden (z.B. Akquisition, Verwaltung)</t>
  </si>
  <si>
    <t>Tage</t>
  </si>
  <si>
    <t>Abrechenbare Arbeitsstunden pro Mitarbeiter</t>
  </si>
  <si>
    <t>Kosten pro abrechenbare Arbeitsstunde</t>
  </si>
  <si>
    <t>Maximale Arbeitsstunden pro Jahr mit Mitarbeitern</t>
  </si>
  <si>
    <t>Mindesttagessatz mit Mitarbeitern</t>
  </si>
  <si>
    <t>Betriebliche 
Kosten</t>
  </si>
  <si>
    <t>Mindestangebotspreis (brutto) / Bruttoverkaufspreis</t>
  </si>
  <si>
    <t>Produkt</t>
  </si>
  <si>
    <t>Personalkosten für alle Mitarbeiter (Lohn)</t>
  </si>
  <si>
    <t>Arbeitstage im Jahr</t>
  </si>
  <si>
    <t>Kosten p.a.</t>
  </si>
  <si>
    <t xml:space="preserve">Ermittlung Mindest-Tagessatz für Beratungsunternehmen </t>
  </si>
  <si>
    <t>Abrechenbare Arbeitsstunden alle Beratungsmitarbeiter</t>
  </si>
  <si>
    <t>Stunden</t>
  </si>
  <si>
    <t>Mindesttagessatz Berater</t>
  </si>
  <si>
    <t>Stundensatz (netto) Berater</t>
  </si>
  <si>
    <t>Kalkulierter Gewinn pro Stunde (netto)</t>
  </si>
  <si>
    <t>Krankheit</t>
  </si>
  <si>
    <t>in Stück</t>
  </si>
  <si>
    <t>Anzahl Mitarbeiter für Dienstleistung/Beratungen</t>
  </si>
  <si>
    <t>Geplanter Gewinn pro Stk. (branchen-, marktabhängig **)</t>
  </si>
  <si>
    <t>Anzahl MA</t>
  </si>
  <si>
    <t>Arbeitsstunden</t>
  </si>
  <si>
    <t>Projektstunden</t>
  </si>
  <si>
    <t>Kosten Person/h</t>
  </si>
  <si>
    <t>Preiskalkulation GameIt</t>
  </si>
  <si>
    <t>Preiskalkulation für Game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</si>
</sst>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€_-;\-* #,##0.00\ _€_-;_-* &quot;-&quot;??\ _€_-;_-@_-"/>
    <numFmt numFmtId="165" formatCode="_-* #,##0\ _€_-;\-* #,##0\ _€_-;_-* &quot;-&quot;??\ _€_-;_-@_-"/>
    <numFmt numFmtId="166" formatCode="_-* #,##0.00\ [$€-407]_-;\-* #,##0.00\ [$€-407]_-;_-* &quot;-&quot;??\ [$€-407]_-;_-@_-"/>
    <numFmt numFmtId="167" formatCode="#,##0.00\ &quot;€&quot;"/>
  </numFmts>
  <fonts count="9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4"/>
      <color theme="1"/>
      <name val="Arial"/>
      <family val="2"/>
    </font>
    <font>
      <b/>
      <sz val="10"/>
      <name val="Arial"/>
      <family val="2"/>
    </font>
    <font>
      <b/>
      <sz val="10"/>
      <color theme="2" tint="-0.499984740745262"/>
      <name val="Arial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03">
    <xf numFmtId="0" fontId="0" fillId="0" borderId="0" xfId="0"/>
    <xf numFmtId="0" fontId="5" fillId="0" borderId="0" xfId="0" applyFont="1"/>
    <xf numFmtId="0" fontId="0" fillId="0" borderId="0" xfId="0" applyFont="1"/>
    <xf numFmtId="0" fontId="0" fillId="0" borderId="1" xfId="0" applyBorder="1"/>
    <xf numFmtId="0" fontId="3" fillId="0" borderId="1" xfId="0" applyFont="1" applyBorder="1"/>
    <xf numFmtId="0" fontId="3" fillId="3" borderId="1" xfId="0" applyFont="1" applyFill="1" applyBorder="1"/>
    <xf numFmtId="166" fontId="4" fillId="2" borderId="1" xfId="1" applyNumberFormat="1" applyFont="1" applyFill="1" applyBorder="1"/>
    <xf numFmtId="166" fontId="3" fillId="0" borderId="1" xfId="0" applyNumberFormat="1" applyFont="1" applyBorder="1"/>
    <xf numFmtId="0" fontId="0" fillId="0" borderId="1" xfId="0" applyFont="1" applyBorder="1"/>
    <xf numFmtId="166" fontId="0" fillId="0" borderId="1" xfId="0" applyNumberFormat="1" applyFont="1" applyBorder="1"/>
    <xf numFmtId="0" fontId="0" fillId="3" borderId="1" xfId="0" applyFill="1" applyBorder="1"/>
    <xf numFmtId="0" fontId="0" fillId="0" borderId="0" xfId="0" applyAlignment="1">
      <alignment horizontal="center"/>
    </xf>
    <xf numFmtId="0" fontId="3" fillId="4" borderId="1" xfId="0" applyFont="1" applyFill="1" applyBorder="1"/>
    <xf numFmtId="166" fontId="3" fillId="4" borderId="1" xfId="0" applyNumberFormat="1" applyFont="1" applyFill="1" applyBorder="1"/>
    <xf numFmtId="166" fontId="3" fillId="4" borderId="1" xfId="1" applyNumberFormat="1" applyFont="1" applyFill="1" applyBorder="1"/>
    <xf numFmtId="0" fontId="3" fillId="0" borderId="1" xfId="0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0" fillId="0" borderId="0" xfId="0" applyBorder="1"/>
    <xf numFmtId="0" fontId="3" fillId="0" borderId="0" xfId="0" applyFont="1" applyBorder="1"/>
    <xf numFmtId="0" fontId="3" fillId="0" borderId="0" xfId="0" applyFont="1" applyFill="1" applyBorder="1"/>
    <xf numFmtId="0" fontId="0" fillId="0" borderId="0" xfId="0" applyFill="1" applyBorder="1"/>
    <xf numFmtId="166" fontId="0" fillId="4" borderId="1" xfId="0" applyNumberFormat="1" applyFont="1" applyFill="1" applyBorder="1"/>
    <xf numFmtId="0" fontId="3" fillId="0" borderId="1" xfId="0" applyFont="1" applyFill="1" applyBorder="1"/>
    <xf numFmtId="167" fontId="3" fillId="0" borderId="0" xfId="1" applyNumberFormat="1" applyFont="1" applyFill="1" applyBorder="1"/>
    <xf numFmtId="165" fontId="3" fillId="0" borderId="1" xfId="1" applyNumberFormat="1" applyFont="1" applyFill="1" applyBorder="1"/>
    <xf numFmtId="165" fontId="3" fillId="4" borderId="1" xfId="1" applyNumberFormat="1" applyFont="1" applyFill="1" applyBorder="1"/>
    <xf numFmtId="0" fontId="2" fillId="7" borderId="1" xfId="0" applyFont="1" applyFill="1" applyBorder="1"/>
    <xf numFmtId="0" fontId="3" fillId="7" borderId="1" xfId="0" applyFont="1" applyFill="1" applyBorder="1" applyAlignment="1">
      <alignment horizontal="center"/>
    </xf>
    <xf numFmtId="166" fontId="4" fillId="7" borderId="1" xfId="1" applyNumberFormat="1" applyFont="1" applyFill="1" applyBorder="1"/>
    <xf numFmtId="165" fontId="2" fillId="0" borderId="1" xfId="1" applyNumberFormat="1" applyFont="1" applyFill="1" applyBorder="1"/>
    <xf numFmtId="0" fontId="6" fillId="0" borderId="1" xfId="0" applyFont="1" applyFill="1" applyBorder="1"/>
    <xf numFmtId="0" fontId="6" fillId="0" borderId="1" xfId="0" applyFont="1" applyFill="1" applyBorder="1" applyAlignment="1">
      <alignment horizontal="center"/>
    </xf>
    <xf numFmtId="165" fontId="7" fillId="7" borderId="1" xfId="1" applyNumberFormat="1" applyFont="1" applyFill="1" applyBorder="1"/>
    <xf numFmtId="0" fontId="3" fillId="8" borderId="1" xfId="0" applyFont="1" applyFill="1" applyBorder="1"/>
    <xf numFmtId="166" fontId="3" fillId="8" borderId="1" xfId="0" applyNumberFormat="1" applyFont="1" applyFill="1" applyBorder="1"/>
    <xf numFmtId="167" fontId="3" fillId="0" borderId="1" xfId="1" applyNumberFormat="1" applyFont="1" applyFill="1" applyBorder="1"/>
    <xf numFmtId="1" fontId="4" fillId="6" borderId="1" xfId="0" applyNumberFormat="1" applyFont="1" applyFill="1" applyBorder="1" applyAlignment="1">
      <alignment horizontal="center" vertical="center"/>
    </xf>
    <xf numFmtId="166" fontId="3" fillId="0" borderId="1" xfId="0" applyNumberFormat="1" applyFont="1" applyFill="1" applyBorder="1" applyAlignment="1">
      <alignment horizontal="center" vertical="center"/>
    </xf>
    <xf numFmtId="1" fontId="4" fillId="6" borderId="1" xfId="1" applyNumberFormat="1" applyFont="1" applyFill="1" applyBorder="1" applyAlignment="1">
      <alignment horizontal="center" vertical="center"/>
    </xf>
    <xf numFmtId="1" fontId="4" fillId="4" borderId="1" xfId="1" applyNumberFormat="1" applyFont="1" applyFill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166" fontId="3" fillId="7" borderId="1" xfId="0" applyNumberFormat="1" applyFont="1" applyFill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6" fontId="4" fillId="5" borderId="1" xfId="0" applyNumberFormat="1" applyFont="1" applyFill="1" applyBorder="1" applyAlignment="1">
      <alignment horizontal="center" vertical="center"/>
    </xf>
    <xf numFmtId="166" fontId="3" fillId="4" borderId="4" xfId="0" applyNumberFormat="1" applyFont="1" applyFill="1" applyBorder="1" applyAlignment="1">
      <alignment horizontal="center" vertical="center"/>
    </xf>
    <xf numFmtId="167" fontId="3" fillId="0" borderId="2" xfId="1" applyNumberFormat="1" applyFont="1" applyFill="1" applyBorder="1"/>
    <xf numFmtId="167" fontId="3" fillId="4" borderId="3" xfId="1" applyNumberFormat="1" applyFont="1" applyFill="1" applyBorder="1"/>
    <xf numFmtId="1" fontId="0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/>
    </xf>
    <xf numFmtId="166" fontId="3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1" xfId="2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0" fillId="0" borderId="1" xfId="0" applyNumberFormat="1" applyBorder="1" applyAlignment="1">
      <alignment vertical="center"/>
    </xf>
    <xf numFmtId="166" fontId="3" fillId="4" borderId="1" xfId="0" applyNumberFormat="1" applyFont="1" applyFill="1" applyBorder="1" applyAlignment="1">
      <alignment vertical="center"/>
    </xf>
    <xf numFmtId="166" fontId="3" fillId="0" borderId="1" xfId="0" applyNumberFormat="1" applyFont="1" applyBorder="1" applyAlignment="1">
      <alignment vertical="center"/>
    </xf>
    <xf numFmtId="166" fontId="0" fillId="0" borderId="1" xfId="0" applyNumberFormat="1" applyFont="1" applyBorder="1" applyAlignment="1">
      <alignment vertical="center"/>
    </xf>
    <xf numFmtId="166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3" fillId="3" borderId="1" xfId="0" applyFont="1" applyFill="1" applyBorder="1" applyAlignment="1">
      <alignment horizontal="left" vertical="center"/>
    </xf>
    <xf numFmtId="166" fontId="4" fillId="2" borderId="1" xfId="1" applyNumberFormat="1" applyFont="1" applyFill="1" applyBorder="1" applyAlignment="1">
      <alignment horizontal="center" vertical="center"/>
    </xf>
    <xf numFmtId="166" fontId="0" fillId="0" borderId="1" xfId="1" applyNumberFormat="1" applyFont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 vertical="top" wrapText="1"/>
    </xf>
    <xf numFmtId="0" fontId="4" fillId="2" borderId="1" xfId="2" applyFont="1" applyBorder="1" applyAlignment="1">
      <alignment horizontal="center"/>
    </xf>
    <xf numFmtId="0" fontId="0" fillId="0" borderId="0" xfId="0" applyFont="1" applyFill="1" applyBorder="1" applyAlignment="1">
      <alignment horizontal="left" vertical="top" wrapText="1"/>
    </xf>
    <xf numFmtId="166" fontId="0" fillId="0" borderId="0" xfId="0" applyNumberFormat="1" applyFont="1" applyFill="1" applyBorder="1" applyAlignment="1">
      <alignment horizontal="left" vertical="top" wrapText="1"/>
    </xf>
    <xf numFmtId="0" fontId="0" fillId="0" borderId="1" xfId="0" applyFont="1" applyFill="1" applyBorder="1" applyAlignment="1">
      <alignment horizontal="center"/>
    </xf>
    <xf numFmtId="166" fontId="0" fillId="0" borderId="1" xfId="0" applyNumberFormat="1" applyFont="1" applyFill="1" applyBorder="1"/>
    <xf numFmtId="0" fontId="0" fillId="0" borderId="1" xfId="0" applyFont="1" applyBorder="1" applyAlignment="1">
      <alignment horizontal="center"/>
    </xf>
    <xf numFmtId="0" fontId="4" fillId="0" borderId="1" xfId="2" applyFont="1" applyFill="1" applyBorder="1" applyAlignment="1">
      <alignment horizontal="center"/>
    </xf>
    <xf numFmtId="0" fontId="4" fillId="4" borderId="1" xfId="2" applyFont="1" applyFill="1" applyBorder="1" applyAlignment="1">
      <alignment horizontal="center"/>
    </xf>
    <xf numFmtId="165" fontId="0" fillId="0" borderId="1" xfId="1" applyNumberFormat="1" applyFont="1" applyFill="1" applyBorder="1"/>
    <xf numFmtId="0" fontId="0" fillId="0" borderId="0" xfId="0" applyFont="1" applyFill="1" applyAlignment="1">
      <alignment horizontal="center"/>
    </xf>
    <xf numFmtId="0" fontId="0" fillId="0" borderId="0" xfId="0" applyFont="1" applyFill="1"/>
    <xf numFmtId="167" fontId="0" fillId="0" borderId="0" xfId="0" applyNumberFormat="1" applyFont="1" applyFill="1"/>
    <xf numFmtId="0" fontId="3" fillId="8" borderId="1" xfId="0" applyFont="1" applyFill="1" applyBorder="1" applyAlignment="1">
      <alignment horizontal="center"/>
    </xf>
    <xf numFmtId="0" fontId="2" fillId="7" borderId="1" xfId="2" applyFont="1" applyFill="1" applyBorder="1" applyAlignment="1">
      <alignment vertical="center" wrapText="1"/>
    </xf>
    <xf numFmtId="0" fontId="4" fillId="5" borderId="1" xfId="1" applyNumberFormat="1" applyFont="1" applyFill="1" applyBorder="1" applyAlignment="1">
      <alignment horizontal="center" vertical="center"/>
    </xf>
    <xf numFmtId="0" fontId="3" fillId="4" borderId="1" xfId="1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65" fontId="8" fillId="0" borderId="1" xfId="1" applyNumberFormat="1" applyFont="1" applyFill="1" applyBorder="1"/>
    <xf numFmtId="0" fontId="2" fillId="8" borderId="1" xfId="0" applyFont="1" applyFill="1" applyBorder="1" applyAlignment="1">
      <alignment horizontal="center" vertical="center"/>
    </xf>
    <xf numFmtId="0" fontId="0" fillId="0" borderId="1" xfId="0" applyFont="1" applyFill="1" applyBorder="1"/>
    <xf numFmtId="166" fontId="2" fillId="8" borderId="1" xfId="1" applyNumberFormat="1" applyFont="1" applyFill="1" applyBorder="1" applyAlignment="1">
      <alignment horizontal="center"/>
    </xf>
    <xf numFmtId="165" fontId="4" fillId="6" borderId="1" xfId="1" applyNumberFormat="1" applyFont="1" applyFill="1" applyBorder="1"/>
    <xf numFmtId="0" fontId="3" fillId="3" borderId="1" xfId="0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center" vertical="center"/>
    </xf>
    <xf numFmtId="0" fontId="8" fillId="9" borderId="1" xfId="0" applyFont="1" applyFill="1" applyBorder="1"/>
    <xf numFmtId="0" fontId="2" fillId="7" borderId="1" xfId="1" applyNumberFormat="1" applyFont="1" applyFill="1" applyBorder="1" applyAlignment="1">
      <alignment horizontal="center" vertical="center"/>
    </xf>
    <xf numFmtId="165" fontId="8" fillId="9" borderId="1" xfId="1" applyNumberFormat="1" applyFont="1" applyFill="1" applyBorder="1"/>
    <xf numFmtId="0" fontId="3" fillId="10" borderId="1" xfId="0" applyNumberFormat="1" applyFont="1" applyFill="1" applyBorder="1" applyAlignment="1">
      <alignment vertical="center"/>
    </xf>
    <xf numFmtId="0" fontId="0" fillId="10" borderId="1" xfId="0" applyNumberFormat="1" applyFont="1" applyFill="1" applyBorder="1" applyAlignment="1">
      <alignment vertical="center"/>
    </xf>
    <xf numFmtId="0" fontId="0" fillId="10" borderId="1" xfId="0" applyNumberForma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</cellXfs>
  <cellStyles count="3">
    <cellStyle name="Akzent1" xfId="2" builtinId="29"/>
    <cellStyle name="Komma" xfId="1" builtinId="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tabSelected="1" workbookViewId="0">
      <selection activeCell="D8" sqref="D8"/>
    </sheetView>
  </sheetViews>
  <sheetFormatPr baseColWidth="10" defaultRowHeight="12.75" x14ac:dyDescent="0.2"/>
  <cols>
    <col min="1" max="1" width="47.85546875" customWidth="1"/>
    <col min="2" max="2" width="9.140625" style="52" bestFit="1" customWidth="1"/>
    <col min="3" max="3" width="18.28515625" style="51" bestFit="1" customWidth="1"/>
    <col min="4" max="4" width="17.85546875" style="52" bestFit="1" customWidth="1"/>
    <col min="5" max="5" width="7.7109375" customWidth="1"/>
    <col min="6" max="6" width="9.42578125" customWidth="1"/>
    <col min="7" max="7" width="21.42578125" customWidth="1"/>
    <col min="8" max="8" width="11.28515625" customWidth="1"/>
  </cols>
  <sheetData>
    <row r="1" spans="1:7" ht="18" x14ac:dyDescent="0.25">
      <c r="A1" s="1" t="s">
        <v>53</v>
      </c>
    </row>
    <row r="4" spans="1:7" ht="24" customHeight="1" x14ac:dyDescent="0.2">
      <c r="A4" s="64" t="s">
        <v>35</v>
      </c>
      <c r="B4" s="53" t="s">
        <v>0</v>
      </c>
      <c r="C4" s="53" t="s">
        <v>52</v>
      </c>
      <c r="D4" s="53" t="s">
        <v>38</v>
      </c>
      <c r="E4" s="94" t="s">
        <v>51</v>
      </c>
      <c r="F4" s="94" t="s">
        <v>49</v>
      </c>
      <c r="G4" s="94" t="s">
        <v>50</v>
      </c>
    </row>
    <row r="5" spans="1:7" x14ac:dyDescent="0.2">
      <c r="A5" s="3" t="s">
        <v>1</v>
      </c>
      <c r="B5" s="54"/>
      <c r="C5" s="63">
        <v>0</v>
      </c>
      <c r="D5" s="65">
        <v>0</v>
      </c>
      <c r="E5" s="98">
        <f>F5*G5</f>
        <v>300</v>
      </c>
      <c r="F5" s="93">
        <v>3</v>
      </c>
      <c r="G5" s="93">
        <v>100</v>
      </c>
    </row>
    <row r="6" spans="1:7" x14ac:dyDescent="0.2">
      <c r="A6" s="3" t="s">
        <v>13</v>
      </c>
      <c r="B6" s="54"/>
      <c r="C6" s="58">
        <f>D6/E5</f>
        <v>0</v>
      </c>
      <c r="D6" s="65">
        <v>0</v>
      </c>
      <c r="E6" s="10"/>
      <c r="F6" s="10"/>
      <c r="G6" s="10"/>
    </row>
    <row r="7" spans="1:7" x14ac:dyDescent="0.2">
      <c r="A7" s="3" t="s">
        <v>2</v>
      </c>
      <c r="B7" s="54"/>
      <c r="C7" s="58">
        <f>D7/E5</f>
        <v>66.666666666666671</v>
      </c>
      <c r="D7" s="65">
        <v>20000</v>
      </c>
      <c r="E7" s="10"/>
      <c r="F7" s="10"/>
      <c r="G7" s="10"/>
    </row>
    <row r="8" spans="1:7" x14ac:dyDescent="0.2">
      <c r="A8" s="3" t="s">
        <v>3</v>
      </c>
      <c r="B8" s="55">
        <v>40</v>
      </c>
      <c r="C8" s="58">
        <f>D8/E5</f>
        <v>26.666666666666668</v>
      </c>
      <c r="D8" s="66">
        <f>D7*B8/100</f>
        <v>8000</v>
      </c>
      <c r="E8" s="10"/>
      <c r="F8" s="10"/>
      <c r="G8" s="10"/>
    </row>
    <row r="9" spans="1:7" x14ac:dyDescent="0.2">
      <c r="A9" s="3" t="s">
        <v>9</v>
      </c>
      <c r="B9" s="54"/>
      <c r="C9" s="58">
        <f>D9/E5</f>
        <v>0</v>
      </c>
      <c r="D9" s="65">
        <v>0</v>
      </c>
      <c r="E9" s="10"/>
      <c r="F9" s="10"/>
      <c r="G9" s="10"/>
    </row>
    <row r="10" spans="1:7" x14ac:dyDescent="0.2">
      <c r="A10" s="3" t="s">
        <v>4</v>
      </c>
      <c r="B10" s="54"/>
      <c r="C10" s="58">
        <f>D10/E5</f>
        <v>2.0666666666666669</v>
      </c>
      <c r="D10" s="65">
        <v>620</v>
      </c>
      <c r="E10" s="10"/>
      <c r="F10" s="10"/>
      <c r="G10" s="10"/>
    </row>
    <row r="11" spans="1:7" x14ac:dyDescent="0.2">
      <c r="A11" s="3" t="s">
        <v>5</v>
      </c>
      <c r="B11" s="54"/>
      <c r="C11" s="58">
        <f>D11/E5</f>
        <v>0</v>
      </c>
      <c r="D11" s="65">
        <v>0</v>
      </c>
      <c r="E11" s="10"/>
      <c r="F11" s="10"/>
      <c r="G11" s="10"/>
    </row>
    <row r="12" spans="1:7" x14ac:dyDescent="0.2">
      <c r="A12" s="3" t="s">
        <v>6</v>
      </c>
      <c r="B12" s="54"/>
      <c r="C12" s="58">
        <f>D12/E5</f>
        <v>0.2</v>
      </c>
      <c r="D12" s="65">
        <v>60</v>
      </c>
      <c r="E12" s="10"/>
      <c r="F12" s="10"/>
      <c r="G12" s="10"/>
    </row>
    <row r="13" spans="1:7" x14ac:dyDescent="0.2">
      <c r="A13" s="3" t="s">
        <v>11</v>
      </c>
      <c r="B13" s="54"/>
      <c r="C13" s="58">
        <f>D13/E5</f>
        <v>0</v>
      </c>
      <c r="D13" s="65">
        <v>0</v>
      </c>
      <c r="E13" s="10"/>
      <c r="F13" s="10"/>
      <c r="G13" s="10"/>
    </row>
    <row r="14" spans="1:7" x14ac:dyDescent="0.2">
      <c r="A14" s="3" t="s">
        <v>7</v>
      </c>
      <c r="B14" s="54"/>
      <c r="C14" s="58">
        <f>D14/E5</f>
        <v>0</v>
      </c>
      <c r="D14" s="65">
        <v>0</v>
      </c>
      <c r="E14" s="10"/>
      <c r="F14" s="10"/>
      <c r="G14" s="10"/>
    </row>
    <row r="15" spans="1:7" x14ac:dyDescent="0.2">
      <c r="A15" s="3" t="s">
        <v>12</v>
      </c>
      <c r="B15" s="54"/>
      <c r="C15" s="58">
        <f>D15/E5</f>
        <v>6.6666666666666666E-2</v>
      </c>
      <c r="D15" s="65">
        <v>20</v>
      </c>
      <c r="E15" s="10"/>
      <c r="F15" s="10"/>
      <c r="G15" s="10"/>
    </row>
    <row r="16" spans="1:7" x14ac:dyDescent="0.2">
      <c r="A16" s="12" t="s">
        <v>8</v>
      </c>
      <c r="B16" s="56"/>
      <c r="C16" s="59">
        <f>C5+C6+C7+C8+C9+C10+C11+C12+C13+C14+C15</f>
        <v>95.666666666666671</v>
      </c>
      <c r="D16" s="67">
        <f>D5+D6+D7+D8+D9+D10+D11+D12+D13+D14+D15</f>
        <v>28700</v>
      </c>
      <c r="E16" s="10"/>
      <c r="F16" s="10"/>
      <c r="G16" s="10"/>
    </row>
    <row r="17" spans="1:7" x14ac:dyDescent="0.2">
      <c r="A17" s="3" t="s">
        <v>48</v>
      </c>
      <c r="B17" s="55">
        <v>20</v>
      </c>
      <c r="C17" s="58">
        <f>C16*B17/100</f>
        <v>19.133333333333336</v>
      </c>
      <c r="D17" s="62">
        <f>D16*B17/100</f>
        <v>5740</v>
      </c>
      <c r="E17" s="10"/>
      <c r="F17" s="10"/>
      <c r="G17" s="10"/>
    </row>
    <row r="18" spans="1:7" x14ac:dyDescent="0.2">
      <c r="A18" s="4" t="s">
        <v>17</v>
      </c>
      <c r="B18" s="54"/>
      <c r="C18" s="99"/>
      <c r="D18" s="60">
        <f>D16+D17</f>
        <v>34440</v>
      </c>
      <c r="E18" s="10"/>
      <c r="F18" s="10"/>
      <c r="G18" s="10"/>
    </row>
    <row r="19" spans="1:7" x14ac:dyDescent="0.2">
      <c r="A19" s="3" t="s">
        <v>15</v>
      </c>
      <c r="B19" s="55">
        <v>2</v>
      </c>
      <c r="C19" s="100"/>
      <c r="D19" s="61">
        <f>D18*B19/100</f>
        <v>688.8</v>
      </c>
      <c r="E19" s="10"/>
      <c r="F19" s="10"/>
      <c r="G19" s="10"/>
    </row>
    <row r="20" spans="1:7" x14ac:dyDescent="0.2">
      <c r="A20" s="3" t="s">
        <v>10</v>
      </c>
      <c r="B20" s="55">
        <v>0</v>
      </c>
      <c r="C20" s="100"/>
      <c r="D20" s="61">
        <f>B20/100*D18</f>
        <v>0</v>
      </c>
      <c r="E20" s="10"/>
      <c r="F20" s="10"/>
      <c r="G20" s="10"/>
    </row>
    <row r="21" spans="1:7" x14ac:dyDescent="0.2">
      <c r="A21" s="4" t="s">
        <v>18</v>
      </c>
      <c r="B21" s="57"/>
      <c r="C21" s="99"/>
      <c r="D21" s="60">
        <f>D18+D19+D20</f>
        <v>35128.800000000003</v>
      </c>
      <c r="E21" s="5"/>
      <c r="F21" s="5"/>
      <c r="G21" s="5"/>
    </row>
    <row r="22" spans="1:7" x14ac:dyDescent="0.2">
      <c r="A22" s="3" t="s">
        <v>16</v>
      </c>
      <c r="B22" s="55">
        <v>8</v>
      </c>
      <c r="C22" s="101"/>
      <c r="D22" s="58">
        <f>D21*C22/100</f>
        <v>0</v>
      </c>
      <c r="E22" s="10"/>
      <c r="F22" s="10"/>
      <c r="G22" s="10"/>
    </row>
    <row r="23" spans="1:7" x14ac:dyDescent="0.2">
      <c r="A23" s="4" t="s">
        <v>19</v>
      </c>
      <c r="B23" s="57"/>
      <c r="C23" s="99"/>
      <c r="D23" s="60">
        <f>D21+D22</f>
        <v>35128.800000000003</v>
      </c>
      <c r="E23" s="5"/>
      <c r="F23" s="5"/>
      <c r="G23" s="5"/>
    </row>
    <row r="24" spans="1:7" x14ac:dyDescent="0.2">
      <c r="A24" s="8" t="s">
        <v>14</v>
      </c>
      <c r="B24" s="55">
        <v>19</v>
      </c>
      <c r="C24" s="100"/>
      <c r="D24" s="61">
        <f>D23*B24/100</f>
        <v>6674.4720000000007</v>
      </c>
      <c r="E24" s="5"/>
      <c r="F24" s="5"/>
      <c r="G24" s="5"/>
    </row>
    <row r="25" spans="1:7" x14ac:dyDescent="0.2">
      <c r="A25" s="12" t="s">
        <v>34</v>
      </c>
      <c r="B25" s="56"/>
      <c r="C25" s="102"/>
      <c r="D25" s="59">
        <f>D23+D24</f>
        <v>41803.272000000004</v>
      </c>
      <c r="E25" s="5"/>
      <c r="F25" s="5"/>
      <c r="G25" s="5"/>
    </row>
  </sheetData>
  <pageMargins left="0.7" right="0.7" top="0.78740157499999996" bottom="0.78740157499999996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239-230D-4EA4-9C5F-9BA29C5543EE}">
  <dimension ref="A1:E43"/>
  <sheetViews>
    <sheetView workbookViewId="0">
      <selection activeCell="D19" sqref="D19"/>
    </sheetView>
  </sheetViews>
  <sheetFormatPr baseColWidth="10" defaultColWidth="45.28515625" defaultRowHeight="12.75" x14ac:dyDescent="0.2"/>
  <cols>
    <col min="1" max="1" width="52.5703125" customWidth="1"/>
    <col min="2" max="2" width="8.7109375" style="11" customWidth="1"/>
    <col min="3" max="3" width="9.85546875" customWidth="1"/>
    <col min="4" max="4" width="16" customWidth="1"/>
    <col min="5" max="5" width="28.140625" customWidth="1"/>
  </cols>
  <sheetData>
    <row r="1" spans="1:5" ht="22.5" customHeight="1" x14ac:dyDescent="0.25">
      <c r="A1" s="1" t="s">
        <v>54</v>
      </c>
    </row>
    <row r="2" spans="1:5" x14ac:dyDescent="0.2">
      <c r="A2" s="2"/>
      <c r="B2" s="70"/>
      <c r="C2" s="2"/>
      <c r="D2" s="2"/>
    </row>
    <row r="3" spans="1:5" x14ac:dyDescent="0.2">
      <c r="A3" s="71"/>
      <c r="B3" s="71"/>
      <c r="C3" s="71"/>
      <c r="D3" s="71"/>
    </row>
    <row r="4" spans="1:5" x14ac:dyDescent="0.2">
      <c r="A4" s="73"/>
      <c r="B4" s="73"/>
      <c r="C4" s="73"/>
      <c r="D4" s="74"/>
    </row>
    <row r="5" spans="1:5" ht="25.5" x14ac:dyDescent="0.2">
      <c r="A5" s="85" t="s">
        <v>39</v>
      </c>
      <c r="B5" s="90" t="s">
        <v>0</v>
      </c>
      <c r="C5" s="34"/>
      <c r="D5" s="68" t="s">
        <v>33</v>
      </c>
      <c r="E5" s="20"/>
    </row>
    <row r="6" spans="1:5" x14ac:dyDescent="0.2">
      <c r="A6" s="8" t="s">
        <v>36</v>
      </c>
      <c r="B6" s="75"/>
      <c r="C6" s="76"/>
      <c r="D6" s="65">
        <v>5000</v>
      </c>
      <c r="E6" s="18"/>
    </row>
    <row r="7" spans="1:5" x14ac:dyDescent="0.2">
      <c r="A7" s="4" t="s">
        <v>3</v>
      </c>
      <c r="B7" s="72">
        <v>40</v>
      </c>
      <c r="C7" s="9"/>
      <c r="D7" s="29">
        <f>D6*B7/100</f>
        <v>2000</v>
      </c>
      <c r="E7" s="18"/>
    </row>
    <row r="8" spans="1:5" x14ac:dyDescent="0.2">
      <c r="A8" s="8" t="s">
        <v>20</v>
      </c>
      <c r="B8" s="77"/>
      <c r="C8" s="9"/>
      <c r="D8" s="6"/>
      <c r="E8" s="18"/>
    </row>
    <row r="9" spans="1:5" x14ac:dyDescent="0.2">
      <c r="A9" s="8" t="s">
        <v>4</v>
      </c>
      <c r="B9" s="77"/>
      <c r="C9" s="9"/>
      <c r="D9" s="6">
        <v>500</v>
      </c>
      <c r="E9" s="18"/>
    </row>
    <row r="10" spans="1:5" x14ac:dyDescent="0.2">
      <c r="A10" s="8" t="s">
        <v>5</v>
      </c>
      <c r="B10" s="77"/>
      <c r="C10" s="9"/>
      <c r="D10" s="6">
        <v>0</v>
      </c>
      <c r="E10" s="18"/>
    </row>
    <row r="11" spans="1:5" x14ac:dyDescent="0.2">
      <c r="A11" s="8" t="s">
        <v>6</v>
      </c>
      <c r="B11" s="77"/>
      <c r="C11" s="9"/>
      <c r="D11" s="6">
        <v>60</v>
      </c>
      <c r="E11" s="18"/>
    </row>
    <row r="12" spans="1:5" x14ac:dyDescent="0.2">
      <c r="A12" s="8" t="s">
        <v>11</v>
      </c>
      <c r="B12" s="77"/>
      <c r="C12" s="9"/>
      <c r="D12" s="6">
        <v>0</v>
      </c>
      <c r="E12" s="18"/>
    </row>
    <row r="13" spans="1:5" x14ac:dyDescent="0.2">
      <c r="A13" s="8" t="s">
        <v>7</v>
      </c>
      <c r="B13" s="77"/>
      <c r="C13" s="9"/>
      <c r="D13" s="6">
        <v>0</v>
      </c>
      <c r="E13" s="18"/>
    </row>
    <row r="14" spans="1:5" x14ac:dyDescent="0.2">
      <c r="A14" s="8" t="s">
        <v>21</v>
      </c>
      <c r="B14" s="77"/>
      <c r="C14" s="9"/>
      <c r="D14" s="6">
        <v>0</v>
      </c>
      <c r="E14" s="18"/>
    </row>
    <row r="15" spans="1:5" x14ac:dyDescent="0.2">
      <c r="A15" s="12"/>
      <c r="B15" s="17"/>
      <c r="C15" s="13"/>
      <c r="D15" s="14">
        <f>D6+D7+D8+D9+D10+D11+D12+D13+D14</f>
        <v>7560</v>
      </c>
      <c r="E15" s="18"/>
    </row>
    <row r="16" spans="1:5" x14ac:dyDescent="0.2">
      <c r="A16" s="8"/>
      <c r="B16" s="78"/>
      <c r="C16" s="9"/>
      <c r="D16" s="9"/>
      <c r="E16" s="18"/>
    </row>
    <row r="17" spans="1:5" x14ac:dyDescent="0.2">
      <c r="A17" s="27" t="s">
        <v>37</v>
      </c>
      <c r="B17" s="84"/>
      <c r="C17" s="35"/>
      <c r="D17" s="92" t="s">
        <v>28</v>
      </c>
      <c r="E17" s="21"/>
    </row>
    <row r="18" spans="1:5" x14ac:dyDescent="0.2">
      <c r="A18" s="8" t="s">
        <v>22</v>
      </c>
      <c r="B18" s="78"/>
      <c r="C18" s="9"/>
      <c r="D18" s="86">
        <v>25</v>
      </c>
      <c r="E18" s="18"/>
    </row>
    <row r="19" spans="1:5" x14ac:dyDescent="0.2">
      <c r="A19" s="8" t="s">
        <v>23</v>
      </c>
      <c r="B19" s="78"/>
      <c r="C19" s="9"/>
      <c r="D19" s="86">
        <v>0</v>
      </c>
      <c r="E19" s="18"/>
    </row>
    <row r="20" spans="1:5" x14ac:dyDescent="0.2">
      <c r="A20" s="8" t="s">
        <v>24</v>
      </c>
      <c r="B20" s="16"/>
      <c r="C20" s="7"/>
      <c r="D20" s="86">
        <v>0</v>
      </c>
      <c r="E20" s="19"/>
    </row>
    <row r="21" spans="1:5" x14ac:dyDescent="0.2">
      <c r="A21" s="8" t="s">
        <v>25</v>
      </c>
      <c r="B21" s="78"/>
      <c r="C21" s="9"/>
      <c r="D21" s="86">
        <v>0</v>
      </c>
      <c r="E21" s="18"/>
    </row>
    <row r="22" spans="1:5" x14ac:dyDescent="0.2">
      <c r="A22" s="8" t="s">
        <v>45</v>
      </c>
      <c r="B22" s="16"/>
      <c r="C22" s="7"/>
      <c r="D22" s="86">
        <v>3</v>
      </c>
      <c r="E22" s="19"/>
    </row>
    <row r="23" spans="1:5" x14ac:dyDescent="0.2">
      <c r="A23" s="12"/>
      <c r="B23" s="79"/>
      <c r="C23" s="22"/>
      <c r="D23" s="87">
        <f>D18-D19-D20-D21-D22</f>
        <v>22</v>
      </c>
      <c r="E23" s="19"/>
    </row>
    <row r="24" spans="1:5" x14ac:dyDescent="0.2">
      <c r="A24" s="4"/>
      <c r="B24" s="15"/>
      <c r="C24" s="7"/>
      <c r="D24" s="30"/>
      <c r="E24" s="19"/>
    </row>
    <row r="25" spans="1:5" x14ac:dyDescent="0.2">
      <c r="A25" s="27" t="s">
        <v>31</v>
      </c>
      <c r="B25" s="69"/>
      <c r="C25" s="90"/>
      <c r="D25" s="97" t="s">
        <v>41</v>
      </c>
      <c r="E25" s="19"/>
    </row>
    <row r="26" spans="1:5" x14ac:dyDescent="0.2">
      <c r="A26" s="96" t="s">
        <v>40</v>
      </c>
      <c r="B26" s="88"/>
      <c r="C26" s="95"/>
      <c r="D26" s="89">
        <f>(D23)*8</f>
        <v>176</v>
      </c>
      <c r="E26" s="19"/>
    </row>
    <row r="27" spans="1:5" x14ac:dyDescent="0.2">
      <c r="A27" s="4" t="s">
        <v>27</v>
      </c>
      <c r="B27" s="15" t="s">
        <v>26</v>
      </c>
      <c r="C27" s="37">
        <v>25</v>
      </c>
      <c r="D27" s="80">
        <f>D26*C27/100</f>
        <v>44</v>
      </c>
      <c r="E27" s="19"/>
    </row>
    <row r="28" spans="1:5" x14ac:dyDescent="0.2">
      <c r="A28" s="91" t="s">
        <v>29</v>
      </c>
      <c r="B28" s="16" t="s">
        <v>26</v>
      </c>
      <c r="C28" s="48">
        <f>100-C27</f>
        <v>75</v>
      </c>
      <c r="D28" s="80">
        <f>D26-D27</f>
        <v>132</v>
      </c>
      <c r="E28" s="19"/>
    </row>
    <row r="29" spans="1:5" x14ac:dyDescent="0.2">
      <c r="A29" s="31" t="s">
        <v>47</v>
      </c>
      <c r="B29" s="32" t="s">
        <v>46</v>
      </c>
      <c r="C29" s="39">
        <v>3</v>
      </c>
      <c r="D29" s="25"/>
      <c r="E29" s="19"/>
    </row>
    <row r="30" spans="1:5" x14ac:dyDescent="0.2">
      <c r="A30" s="12"/>
      <c r="B30" s="17"/>
      <c r="C30" s="40"/>
      <c r="D30" s="26">
        <f>D28*C29</f>
        <v>396</v>
      </c>
      <c r="E30" s="19"/>
    </row>
    <row r="31" spans="1:5" x14ac:dyDescent="0.2">
      <c r="A31" s="23"/>
      <c r="B31" s="16"/>
      <c r="C31" s="41"/>
      <c r="D31" s="25"/>
      <c r="E31" s="19"/>
    </row>
    <row r="32" spans="1:5" x14ac:dyDescent="0.2">
      <c r="A32" s="27" t="s">
        <v>32</v>
      </c>
      <c r="B32" s="28"/>
      <c r="C32" s="42"/>
      <c r="D32" s="33"/>
      <c r="E32" s="19"/>
    </row>
    <row r="33" spans="1:5" x14ac:dyDescent="0.2">
      <c r="A33" s="8" t="s">
        <v>30</v>
      </c>
      <c r="B33" s="15"/>
      <c r="C33" s="43"/>
      <c r="D33" s="14">
        <f>D15/D30</f>
        <v>19.09090909090909</v>
      </c>
      <c r="E33" s="19"/>
    </row>
    <row r="34" spans="1:5" x14ac:dyDescent="0.2">
      <c r="A34" s="4" t="s">
        <v>44</v>
      </c>
      <c r="B34" s="15"/>
      <c r="C34" s="44">
        <v>25</v>
      </c>
      <c r="D34" s="36"/>
      <c r="E34" s="19"/>
    </row>
    <row r="35" spans="1:5" ht="13.5" thickBot="1" x14ac:dyDescent="0.25">
      <c r="A35" s="91" t="s">
        <v>43</v>
      </c>
      <c r="B35" s="16"/>
      <c r="C35" s="38"/>
      <c r="D35" s="46">
        <f>D33+C34</f>
        <v>44.090909090909093</v>
      </c>
      <c r="E35" s="19"/>
    </row>
    <row r="36" spans="1:5" ht="13.5" thickBot="1" x14ac:dyDescent="0.25">
      <c r="A36" s="12" t="s">
        <v>42</v>
      </c>
      <c r="B36" s="17"/>
      <c r="C36" s="45"/>
      <c r="D36" s="47">
        <f>D35*8</f>
        <v>352.72727272727275</v>
      </c>
      <c r="E36" s="19"/>
    </row>
    <row r="37" spans="1:5" x14ac:dyDescent="0.2">
      <c r="A37" s="20"/>
      <c r="B37" s="49"/>
      <c r="C37" s="50"/>
      <c r="D37" s="24"/>
      <c r="E37" s="19"/>
    </row>
    <row r="38" spans="1:5" x14ac:dyDescent="0.2">
      <c r="A38" s="20"/>
      <c r="B38" s="81"/>
      <c r="C38" s="82"/>
      <c r="D38" s="83"/>
    </row>
    <row r="39" spans="1:5" x14ac:dyDescent="0.2">
      <c r="A39" s="2"/>
      <c r="B39" s="70"/>
      <c r="C39" s="2"/>
      <c r="D39" s="2"/>
    </row>
    <row r="40" spans="1:5" x14ac:dyDescent="0.2">
      <c r="A40" s="2"/>
      <c r="B40" s="70"/>
      <c r="C40" s="2"/>
      <c r="D40" s="2"/>
    </row>
    <row r="41" spans="1:5" x14ac:dyDescent="0.2">
      <c r="A41" s="2"/>
      <c r="B41" s="70"/>
      <c r="C41" s="2"/>
      <c r="D41" s="2"/>
    </row>
    <row r="42" spans="1:5" x14ac:dyDescent="0.2">
      <c r="A42" s="2"/>
      <c r="B42" s="70"/>
      <c r="C42" s="2"/>
      <c r="D42" s="2"/>
    </row>
    <row r="43" spans="1:5" x14ac:dyDescent="0.2">
      <c r="A43" s="2"/>
      <c r="B43" s="70"/>
      <c r="C43" s="2"/>
      <c r="D43" s="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Produktion &amp; Handel</vt:lpstr>
      <vt:lpstr>Unternehmen Dienstleist.</vt:lpstr>
    </vt:vector>
  </TitlesOfParts>
  <Company>IHK München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Bradl</dc:creator>
  <cp:lastModifiedBy>ZZ23 Maydt Fabio</cp:lastModifiedBy>
  <cp:lastPrinted>2022-06-30T08:19:01Z</cp:lastPrinted>
  <dcterms:created xsi:type="dcterms:W3CDTF">2021-09-07T06:33:11Z</dcterms:created>
  <dcterms:modified xsi:type="dcterms:W3CDTF">2025-12-03T10:42:17Z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96 96 1920 1080</vt:lpwstr>
  </property>
</Properties>
</file>